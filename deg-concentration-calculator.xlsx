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style1.xml" ContentType="application/vnd.ms-office.chartstyle+xml"/>
  <Override PartName="/xl/charts/colors1.xml" ContentType="application/vnd.ms-office.chartcolorsty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17700" tabRatio="600" firstSheet="0" activeTab="0" autoFilterDateGrouping="1"/>
  </bookViews>
  <sheets>
    <sheet name="Расчёт" sheetId="1" state="visible" r:id="rId1"/>
    <sheet name="Проверка" sheetId="2" state="visible" r:id="rId2"/>
    <sheet name="Лист1" sheetId="3" state="visible" r:id="rId3"/>
  </sheets>
  <definedNames/>
  <calcPr calcId="162913" calcMode="auto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0000"/>
    <numFmt numFmtId="167" formatCode="0.0000"/>
    <numFmt numFmtId="168" formatCode="+0.0;-0.0;0.0"/>
  </numFmts>
  <fonts count="19">
    <font>
      <name val="PT Astra Serif"/>
      <charset val="204"/>
      <family val="2"/>
      <color theme="1"/>
      <sz val="11"/>
    </font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color theme="1"/>
      <sz val="8"/>
    </font>
    <font>
      <name val="Calibri"/>
      <charset val="204"/>
      <family val="2"/>
      <i val="1"/>
      <color theme="1"/>
      <sz val="11"/>
      <scheme val="minor"/>
    </font>
    <font>
      <name val="Tahoma"/>
      <charset val="204"/>
      <family val="2"/>
      <b val="1"/>
      <color indexed="81"/>
      <sz val="9"/>
    </font>
    <font>
      <name val="Tahoma"/>
      <charset val="204"/>
      <family val="2"/>
      <color indexed="81"/>
      <sz val="9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1"/>
    </font>
    <font>
      <name val="Arial"/>
      <sz val="11"/>
    </font>
    <font>
      <name val="Arial"/>
      <b val="1"/>
      <color rgb="000000FF"/>
      <sz val="12"/>
    </font>
    <font>
      <name val="Arial"/>
      <b val="1"/>
      <sz val="12"/>
    </font>
    <font>
      <name val="Arial"/>
      <b val="1"/>
      <color rgb="00006400"/>
      <sz val="14"/>
    </font>
    <font>
      <name val="Arial"/>
      <b val="1"/>
      <color rgb="00C00000"/>
      <sz val="11"/>
    </font>
    <font>
      <name val="Arial"/>
      <b val="1"/>
      <color rgb="00808080"/>
      <sz val="10"/>
    </font>
    <font>
      <name val="Arial"/>
      <color theme="1"/>
      <sz val="11"/>
    </font>
    <font>
      <name val="Arial"/>
      <sz val="10"/>
    </font>
    <font>
      <name val="Arial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3" fillId="2" borderId="2" applyAlignment="1" pivotButton="0" quotePrefix="0" xfId="2">
      <alignment horizontal="center" vertical="center"/>
    </xf>
    <xf numFmtId="0" fontId="3" fillId="2" borderId="3" applyAlignment="1" pivotButton="0" quotePrefix="0" xfId="2">
      <alignment horizontal="center" vertical="center"/>
    </xf>
    <xf numFmtId="0" fontId="3" fillId="2" borderId="4" applyAlignment="1" pivotButton="0" quotePrefix="0" xfId="2">
      <alignment horizontal="center" vertical="center"/>
    </xf>
    <xf numFmtId="164" fontId="4" fillId="2" borderId="5" pivotButton="0" quotePrefix="0" xfId="2"/>
    <xf numFmtId="2" fontId="4" fillId="2" borderId="1" pivotButton="0" quotePrefix="0" xfId="2"/>
    <xf numFmtId="165" fontId="4" fillId="2" borderId="6" pivotButton="0" quotePrefix="0" xfId="2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6" fontId="11" fillId="3" borderId="7" applyAlignment="1" pivotButton="0" quotePrefix="0" xfId="0">
      <alignment horizontal="center" vertical="center"/>
    </xf>
    <xf numFmtId="0" fontId="12" fillId="0" borderId="0" pivotButton="0" quotePrefix="0" xfId="0"/>
    <xf numFmtId="165" fontId="13" fillId="4" borderId="7" applyAlignment="1" pivotButton="0" quotePrefix="0" xfId="0">
      <alignment horizontal="center" vertical="center"/>
    </xf>
    <xf numFmtId="165" fontId="10" fillId="5" borderId="7" applyAlignment="1" pivotButton="0" quotePrefix="0" xfId="0">
      <alignment horizontal="center" vertical="center"/>
    </xf>
    <xf numFmtId="166" fontId="10" fillId="5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2" fontId="10" fillId="5" borderId="7" applyAlignment="1" pivotButton="0" quotePrefix="0" xfId="0">
      <alignment horizontal="center" vertical="center"/>
    </xf>
    <xf numFmtId="167" fontId="10" fillId="5" borderId="7" applyAlignment="1" pivotButton="0" quotePrefix="0" xfId="0">
      <alignment horizontal="center" vertical="center"/>
    </xf>
    <xf numFmtId="168" fontId="14" fillId="5" borderId="7" applyAlignment="1" pivotButton="0" quotePrefix="0" xfId="0">
      <alignment horizontal="center" vertical="center"/>
    </xf>
    <xf numFmtId="0" fontId="15" fillId="0" borderId="0" pivotButton="0" quotePrefix="0" xfId="0"/>
    <xf numFmtId="1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1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4" fontId="9" fillId="4" borderId="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4" fillId="0" borderId="0" pivotButton="0" quotePrefix="0" xfId="0"/>
    <xf numFmtId="0" fontId="17" fillId="2" borderId="1" applyAlignment="1" pivotButton="0" quotePrefix="0" xfId="1">
      <alignment horizontal="center"/>
    </xf>
    <xf numFmtId="0" fontId="0" fillId="0" borderId="1" pivotButton="0" quotePrefix="0" xfId="0"/>
    <xf numFmtId="164" fontId="18" fillId="2" borderId="5" pivotButton="0" quotePrefix="0" xfId="2"/>
    <xf numFmtId="2" fontId="18" fillId="2" borderId="1" pivotButton="0" quotePrefix="0" xfId="2"/>
    <xf numFmtId="165" fontId="18" fillId="2" borderId="6" pivotButton="0" quotePrefix="0" xfId="2"/>
  </cellXfs>
  <cellStyles count="3">
    <cellStyle name="Обычный" xfId="0" builtinId="0"/>
    <cellStyle name="Обычный 3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Лист1!$A$1:$A$10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Лист1!$B$1:$B$10</c:f>
              <c:numCache>
                <c:formatCode>General</c:formatCode>
                <c:ptCount val="10"/>
                <c:pt idx="0">
                  <c:v>1.1160000000000001</c:v>
                </c:pt>
                <c:pt idx="1">
                  <c:v>1.1121000000000001</c:v>
                </c:pt>
                <c:pt idx="2">
                  <c:v>1.1057699999999999</c:v>
                </c:pt>
                <c:pt idx="3">
                  <c:v>1.0975900000000001</c:v>
                </c:pt>
                <c:pt idx="4">
                  <c:v>1.0863400000000001</c:v>
                </c:pt>
                <c:pt idx="5">
                  <c:v>1.07287</c:v>
                </c:pt>
                <c:pt idx="6">
                  <c:v>1.0592999999999999</c:v>
                </c:pt>
                <c:pt idx="7">
                  <c:v>1.04376</c:v>
                </c:pt>
                <c:pt idx="8">
                  <c:v>1.0294099999999999</c:v>
                </c:pt>
                <c:pt idx="9">
                  <c:v>1.01322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2A-4580-AAB6-D1C7B085D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9039"/>
        <c:axId val="593802367"/>
      </c:scatterChart>
      <c:valAx>
        <c:axId val="59379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802367"/>
        <c:crosses val="autoZero"/>
        <c:crossBetween val="midCat"/>
      </c:valAx>
      <c:valAx>
        <c:axId val="59380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79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omments/comment1.xml><?xml version="1.0" encoding="utf-8"?>
<comments xmlns="http://schemas.openxmlformats.org/spreadsheetml/2006/main">
  <authors>
    <author>Мигранов Азамат Раисович</author>
  </authors>
  <commentList>
    <comment ref="A29" authorId="0" shapeId="0">
      <text>
        <t xml:space="preserve">y=kx+b
коэфициент k
</t>
      </text>
    </comment>
    <comment ref="B29" authorId="0" shapeId="0">
      <text>
        <t xml:space="preserve">y=kx+b
коэфициент b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352425</colOff>
      <row>0</row>
      <rowOff>28575</rowOff>
    </from>
    <to>
      <col>9</col>
      <colOff>123825</colOff>
      <row>14</row>
      <rowOff>104775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8" customWidth="1" min="3" max="3"/>
    <col width="46" customWidth="1" min="4" max="4"/>
  </cols>
  <sheetData>
    <row r="1">
      <c r="A1" s="8" t="inlineStr">
        <is>
          <t>РАСЧЁТ КОНЦЕНТРАЦИИ ДЭГ ПО ИЗМЕРЕННОЙ ПЛОТНОСТИ</t>
        </is>
      </c>
    </row>
    <row r="2">
      <c r="A2" s="9" t="inlineStr">
        <is>
          <t>Исходная зависимость — лист «Лист1»: A1:A10 — концентрация ДЭГ, % масс.; B1:B10 — плотность ДЭГ, г/см³.</t>
        </is>
      </c>
    </row>
    <row r="3">
      <c r="A3" s="9" t="inlineStr">
        <is>
          <t>Метод: линейная интерполяция между двумя соседними точками таблицы. Проверка совпадения с таблицей — лист «Проверка».</t>
        </is>
      </c>
    </row>
    <row r="5">
      <c r="A5" s="10" t="inlineStr">
        <is>
          <t>ИСХОДНЫЕ ДАННЫЕ (заполняется пользователем)</t>
        </is>
      </c>
    </row>
    <row r="6">
      <c r="A6" s="11" t="inlineStr">
        <is>
          <t>Измеренная плотность ДЭГ, г/см³</t>
        </is>
      </c>
      <c r="B6" s="12" t="n">
        <v>1.08</v>
      </c>
      <c r="C6" s="9" t="inlineStr">
        <is>
          <t>← вводить только в эту жёлтую ячейку (лист «Расчёт»)</t>
        </is>
      </c>
    </row>
    <row r="8">
      <c r="A8" s="10" t="inlineStr">
        <is>
          <t>РЕЗУЛЬТАТ РАСЧЁТА</t>
        </is>
      </c>
    </row>
    <row r="9">
      <c r="A9" s="13" t="inlineStr">
        <is>
          <t>Концентрация ДЭГ, % масс.</t>
        </is>
      </c>
      <c r="B9" s="14">
        <f>IF(NOT(ISNUMBER($B$6)),"Введите плотность (число)",IF(OR($B$6&lt;MIN('Лист1'!$B$1:$B$10),$B$6&gt;MAX('Лист1'!$B$1:$B$10)),"Вне диапазона таблицы",IFERROR(INDEX('Лист1'!$A$1:$A$10,$B$28)+(INDEX('Лист1'!$A$1:$A$10,$B$28+1)-INDEX('Лист1'!$A$1:$A$10,$B$28))*($B$6-INDEX('Лист1'!$B$1:$B$10,$B$28))/(INDEX('Лист1'!$B$1:$B$10,$B$28+1)-INDEX('Лист1'!$B$1:$B$10,$B$28)),"Ошибка расчёта")))</f>
        <v/>
      </c>
    </row>
    <row r="10">
      <c r="A10" s="11" t="inlineStr">
        <is>
          <t>Статус ввода</t>
        </is>
      </c>
      <c r="B10" s="11">
        <f>IF(NOT(ISNUMBER($B$6)),"Нет данных",IF(OR($B$6&lt;MIN('Лист1'!$B$1:$B$10),$B$6&gt;MAX('Лист1'!$B$1:$B$10)),"Вне диапазона таблицы — расчёт не выполняется","В пределах таблицы — выполнена интерполяция"))</f>
        <v/>
      </c>
    </row>
    <row r="11">
      <c r="A11" s="11" t="inlineStr">
        <is>
          <t>Контрольный пересчёт вторым способом</t>
        </is>
      </c>
      <c r="B11" s="15">
        <f>IFERROR((INDEX('Лист1'!$A$1:$A$10,$B$29)*(INDEX('Лист1'!$B$1:$B$10,$B$29+1)-$B$6)+INDEX('Лист1'!$A$1:$A$10,$B$29+1)*($B$6-INDEX('Лист1'!$B$1:$B$10,$B$29)))/(INDEX('Лист1'!$B$1:$B$10,$B$29+1)-INDEX('Лист1'!$B$1:$B$10,$B$29)),"")</f>
        <v/>
      </c>
      <c r="C11" s="9">
        <f>IF(OR(NOT(ISNUMBER($B$9)),NOT(ISNUMBER($B$11))),"",IF(ABS($B$9-$B$11)&lt;0.0000001,"оба способа дают одно значение","РАСХОЖДЕНИЕ СПОСОБОВ — сообщите разработчику"))</f>
        <v/>
      </c>
    </row>
    <row r="13">
      <c r="A13" s="11" t="inlineStr">
        <is>
          <t>Диапазон применимости (по таблице), г/см³:</t>
        </is>
      </c>
      <c r="B13" s="16">
        <f>MIN('Лист1'!$B$1:$B$10)</f>
        <v/>
      </c>
      <c r="C13" s="16">
        <f>MAX('Лист1'!$B$1:$B$10)</f>
        <v/>
      </c>
      <c r="D13" s="9" t="inlineStr">
        <is>
          <t>мин. … макс. (соответствует 10 … 100 % масс.)</t>
        </is>
      </c>
    </row>
    <row r="14">
      <c r="A14" s="11" t="inlineStr">
        <is>
          <t>Контроль исходной таблицы</t>
        </is>
      </c>
      <c r="B14" s="11">
        <f>IF(AND(COUNT('Лист1'!$B$1:$B$10)=10,SUMPRODUCT(('Лист1'!$B$1:$B$9&lt;='Лист1'!$B$2:$B$10)*1)=0),"таблица в порядке: 10 точек, плотность убывает","ВНИМАНИЕ: таблица на листе «Лист1» изменена — проверьте A1:B10")</f>
        <v/>
      </c>
    </row>
    <row r="16">
      <c r="A16" s="10" t="inlineStr">
        <is>
          <t>ИСПОЛЬЗОВАННЫЙ УЧАСТОК ТАБЛИЦЫ</t>
        </is>
      </c>
    </row>
    <row r="17">
      <c r="B17" s="17" t="inlineStr">
        <is>
          <t>нижняя точка</t>
        </is>
      </c>
      <c r="C17" s="17" t="inlineStr">
        <is>
          <t>верхняя точка</t>
        </is>
      </c>
    </row>
    <row r="18">
      <c r="A18" s="11" t="inlineStr">
        <is>
          <t>Плотность, г/см³</t>
        </is>
      </c>
      <c r="B18" s="16">
        <f>IF(ISNUMBER($B$28),INDEX('Лист1'!$B$1:$B$10,$B$28+1),"")</f>
        <v/>
      </c>
      <c r="C18" s="16">
        <f>IF(ISNUMBER($B$28),INDEX('Лист1'!$B$1:$B$10,$B$28+0),"")</f>
        <v/>
      </c>
    </row>
    <row r="19">
      <c r="A19" s="11" t="inlineStr">
        <is>
          <t>Концентрация, % масс.</t>
        </is>
      </c>
      <c r="B19" s="15">
        <f>IF(ISNUMBER($B$28),INDEX('Лист1'!$A$1:$A$10,$B$28+1),"")</f>
        <v/>
      </c>
      <c r="C19" s="15">
        <f>IF(ISNUMBER($B$28),INDEX('Лист1'!$A$1:$A$10,$B$28+0),"")</f>
        <v/>
      </c>
    </row>
    <row r="20">
      <c r="A20" s="11" t="inlineStr">
        <is>
          <t>Чувствительность на этом участке, % масс. на 0,001 г/см³</t>
        </is>
      </c>
      <c r="B20" s="18">
        <f>IFERROR(ABS((INDEX('Лист1'!$A$1:$A$10,$B$28+1)-INDEX('Лист1'!$A$1:$A$10,$B$28))/(INDEX('Лист1'!$B$1:$B$10,$B$28+1)-INDEX('Лист1'!$B$1:$B$10,$B$28)))*0.001,"")</f>
        <v/>
      </c>
      <c r="C20" s="9" t="inlineStr">
        <is>
          <t>на сколько сдвинется результат при ошибке плотности 0,001 г/см³</t>
        </is>
      </c>
    </row>
    <row r="22">
      <c r="A22" s="10" t="inlineStr">
        <is>
          <t>СПРАВОЧНО: расчёт по уравнению линейного тренда  C = a·ρ + b</t>
        </is>
      </c>
      <c r="C22" s="9" t="inlineStr">
        <is>
          <t>НЕ использовать как результат: зависимость нелинейна. Рабочий результат — ячейка B9.</t>
        </is>
      </c>
    </row>
    <row r="23">
      <c r="A23" s="11" t="inlineStr">
        <is>
          <t>a (наклон)</t>
        </is>
      </c>
      <c r="B23" s="18">
        <f>SLOPE('Лист1'!$A$1:$A$10,'Лист1'!$B$1:$B$10)</f>
        <v/>
      </c>
    </row>
    <row r="24">
      <c r="A24" s="11" t="inlineStr">
        <is>
          <t>b (отрезок)</t>
        </is>
      </c>
      <c r="B24" s="18">
        <f>INTERCEPT('Лист1'!$A$1:$A$10,'Лист1'!$B$1:$B$10)</f>
        <v/>
      </c>
    </row>
    <row r="25">
      <c r="A25" s="11" t="inlineStr">
        <is>
          <t>R²</t>
        </is>
      </c>
      <c r="B25" s="19">
        <f>RSQ('Лист1'!$A$1:$A$10,'Лист1'!$B$1:$B$10)</f>
        <v/>
      </c>
    </row>
    <row r="26">
      <c r="A26" s="11" t="inlineStr">
        <is>
          <t>Концентрация по тренду, % масс.</t>
        </is>
      </c>
      <c r="B26" s="15">
        <f>IF(ISNUMBER($B$6),$B$23*$B$6+$B$24,"")</f>
        <v/>
      </c>
      <c r="C26" s="9" t="inlineStr">
        <is>
          <t>отклонение тренда от расчёта по таблице, % абс.:</t>
        </is>
      </c>
      <c r="D26" s="20">
        <f>IF(AND(ISNUMBER($B$9),ISNUMBER($B$26)),$B$26-$B$9,"")</f>
        <v/>
      </c>
    </row>
    <row r="27">
      <c r="A27" s="21" t="inlineStr">
        <is>
          <t>Служебные ячейки (не изменять)</t>
        </is>
      </c>
    </row>
    <row r="28">
      <c r="A28" s="9" t="inlineStr">
        <is>
          <t>Номер нижней точки интервала, способ 1</t>
        </is>
      </c>
      <c r="B28" s="22">
        <f>IF(AND(ISNUMBER($B$6),$B$6&gt;=MIN('Лист1'!$B$1:$B$10),$B$6&lt;=MAX('Лист1'!$B$1:$B$10)),MIN(9,MAX(1,SUMPRODUCT(('Лист1'!$B$1:$B$10&gt;=$B$6)*1))),"")</f>
        <v/>
      </c>
    </row>
    <row r="29">
      <c r="A29" s="9" t="inlineStr">
        <is>
          <t>Номер нижней точки интервала, способ 2</t>
        </is>
      </c>
      <c r="B29" s="22">
        <f>IF(AND(ISNUMBER($B$6),$B$6&gt;=MIN('Лист1'!$B$1:$B$10),$B$6&lt;=MAX('Лист1'!$B$1:$B$10)),MIN(9,MAX(1,MATCH($B$6,'Лист1'!$B$1:$B$10,-1))),"")</f>
        <v/>
      </c>
    </row>
    <row r="31">
      <c r="A31" s="10" t="inlineStr">
        <is>
          <t>ПОРЯДОК РАБОТЫ</t>
        </is>
      </c>
    </row>
    <row r="32">
      <c r="A32" s="11" t="inlineStr">
        <is>
          <t>1. Ввести измеренную плотность ДЭГ (г/см³) в жёлтую ячейку B6 этого листа. Лист «Расчёт» не защищён, ввод свободный.</t>
        </is>
      </c>
    </row>
    <row r="33">
      <c r="A33" s="11" t="inlineStr">
        <is>
          <t>2. Концентрация ДЭГ в % масс. выводится в ячейке B9. Ячейка B11 — тот же расчёт другой формулой, значения обязаны совпадать.</t>
        </is>
      </c>
    </row>
    <row r="34">
      <c r="A34" s="11" t="inlineStr">
        <is>
          <t>3. Вне диапазона B13…C13 выводится «Вне диапазона таблицы»: экстраполяция не выполняется.</t>
        </is>
      </c>
    </row>
    <row r="35">
      <c r="A35" s="11" t="inlineStr">
        <is>
          <t>4. Не вводить плотность на листе «Лист1»: в B1:B10 там лежит сама зависимость, ввод поверх неё испортит расчёт.</t>
        </is>
      </c>
    </row>
    <row r="36">
      <c r="A36" s="11" t="inlineStr">
        <is>
          <t>5. Если результат не меняется при вводе — включён ручной пересчёт: «Формулы» → «Параметры вычислений» → «Автоматически» (или F9).</t>
        </is>
      </c>
    </row>
    <row r="37">
      <c r="A37" s="11" t="inlineStr">
        <is>
          <t>6. Плотность должна быть приведена к температуре, при которой снята исходная таблица. Выше 50 % масс. зависимость очень пологая: ошибка плотности 0,001 г/см³ даёт до 2,6 % масс. по концентрации (см. лист «Проверка»).</t>
        </is>
      </c>
    </row>
    <row r="38">
      <c r="A38" s="11" t="inlineStr">
        <is>
          <t>7. Таблицу на «Лист1» можно дополнять точками — расчёт использует её напрямую; плотность должна оставаться в порядке убывания.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3" customWidth="1" min="4" max="4"/>
    <col width="16" customWidth="1" min="5" max="5"/>
    <col width="16" customWidth="1" min="6" max="6"/>
    <col width="18" customWidth="1" min="7" max="7"/>
    <col width="18" customWidth="1" min="8" max="8"/>
    <col width="12" customWidth="1" min="10" max="10"/>
    <col width="12" customWidth="1" min="11" max="11"/>
  </cols>
  <sheetData>
    <row r="1">
      <c r="A1" s="8" t="inlineStr">
        <is>
          <t>ПРОВЕРКА: расчёт в табличных точках обязан давать табличную концентрацию</t>
        </is>
      </c>
    </row>
    <row r="2">
      <c r="A2" s="9" t="inlineStr">
        <is>
          <t>Каждая строка — точка исходной таблицы с листа «Лист1». Столбцы E и F — два независимых способа расчёта по той же зависимости.</t>
        </is>
      </c>
    </row>
    <row r="4">
      <c r="A4" s="23" t="inlineStr">
        <is>
          <t>№</t>
        </is>
      </c>
      <c r="B4" s="23" t="inlineStr">
        <is>
          <t>Плотность из таблицы, г/см³</t>
        </is>
      </c>
      <c r="C4" s="23" t="inlineStr">
        <is>
          <t>Концентрация по таблице, % масс.</t>
        </is>
      </c>
      <c r="E4" s="23" t="inlineStr">
        <is>
          <t>Расчёт, способ 1</t>
        </is>
      </c>
      <c r="F4" s="23" t="inlineStr">
        <is>
          <t>Расчёт, способ 2</t>
        </is>
      </c>
      <c r="G4" s="23" t="inlineStr">
        <is>
          <t>Отклонение от таблицы, % абс.</t>
        </is>
      </c>
      <c r="H4" s="23" t="inlineStr">
        <is>
          <t>Расхождение способов, % абс.</t>
        </is>
      </c>
      <c r="J4" s="23" t="inlineStr">
        <is>
          <t>служебн. k1</t>
        </is>
      </c>
      <c r="K4" s="23" t="inlineStr">
        <is>
          <t>служебн. k2</t>
        </is>
      </c>
    </row>
    <row r="5">
      <c r="A5" s="24" t="n">
        <v>1</v>
      </c>
      <c r="B5" s="25">
        <f>'Лист1'!B1</f>
        <v/>
      </c>
      <c r="C5" s="26">
        <f>'Лист1'!A1</f>
        <v/>
      </c>
      <c r="E5" s="26">
        <f>INDEX('Лист1'!$A$1:$A$10,$J5)+(INDEX('Лист1'!$A$1:$A$10,$J5+1)-INDEX('Лист1'!$A$1:$A$10,$J5))*($B5-INDEX('Лист1'!$B$1:$B$10,$J5))/(INDEX('Лист1'!$B$1:$B$10,$J5+1)-INDEX('Лист1'!$B$1:$B$10,$J5))</f>
        <v/>
      </c>
      <c r="F5" s="26">
        <f>(INDEX('Лист1'!$A$1:$A$10,$K5)*(INDEX('Лист1'!$B$1:$B$10,$K5+1)-$B5)+INDEX('Лист1'!$A$1:$A$10,$K5+1)*($B5-INDEX('Лист1'!$B$1:$B$10,$K5)))/(INDEX('Лист1'!$B$1:$B$10,$K5+1)-INDEX('Лист1'!$B$1:$B$10,$K5))</f>
        <v/>
      </c>
      <c r="G5" s="27">
        <f>ABS(E5-C5)</f>
        <v/>
      </c>
      <c r="H5" s="27">
        <f>ABS(E5-F5)</f>
        <v/>
      </c>
      <c r="J5" s="22">
        <f>MIN(9,MAX(1,SUMPRODUCT(('Лист1'!$B$1:$B$10&gt;=$B5)*1)))</f>
        <v/>
      </c>
      <c r="K5" s="22">
        <f>MIN(9,MAX(1,MATCH($B5,'Лист1'!$B$1:$B$10,-1)))</f>
        <v/>
      </c>
    </row>
    <row r="6">
      <c r="A6" s="24" t="n">
        <v>2</v>
      </c>
      <c r="B6" s="25">
        <f>'Лист1'!B2</f>
        <v/>
      </c>
      <c r="C6" s="26">
        <f>'Лист1'!A2</f>
        <v/>
      </c>
      <c r="E6" s="26">
        <f>INDEX('Лист1'!$A$1:$A$10,$J6)+(INDEX('Лист1'!$A$1:$A$10,$J6+1)-INDEX('Лист1'!$A$1:$A$10,$J6))*($B6-INDEX('Лист1'!$B$1:$B$10,$J6))/(INDEX('Лист1'!$B$1:$B$10,$J6+1)-INDEX('Лист1'!$B$1:$B$10,$J6))</f>
        <v/>
      </c>
      <c r="F6" s="26">
        <f>(INDEX('Лист1'!$A$1:$A$10,$K6)*(INDEX('Лист1'!$B$1:$B$10,$K6+1)-$B6)+INDEX('Лист1'!$A$1:$A$10,$K6+1)*($B6-INDEX('Лист1'!$B$1:$B$10,$K6)))/(INDEX('Лист1'!$B$1:$B$10,$K6+1)-INDEX('Лист1'!$B$1:$B$10,$K6))</f>
        <v/>
      </c>
      <c r="G6" s="27">
        <f>ABS(E6-C6)</f>
        <v/>
      </c>
      <c r="H6" s="27">
        <f>ABS(E6-F6)</f>
        <v/>
      </c>
      <c r="J6" s="22">
        <f>MIN(9,MAX(1,SUMPRODUCT(('Лист1'!$B$1:$B$10&gt;=$B6)*1)))</f>
        <v/>
      </c>
      <c r="K6" s="22">
        <f>MIN(9,MAX(1,MATCH($B6,'Лист1'!$B$1:$B$10,-1)))</f>
        <v/>
      </c>
    </row>
    <row r="7">
      <c r="A7" s="24" t="n">
        <v>3</v>
      </c>
      <c r="B7" s="25">
        <f>'Лист1'!B3</f>
        <v/>
      </c>
      <c r="C7" s="26">
        <f>'Лист1'!A3</f>
        <v/>
      </c>
      <c r="E7" s="26">
        <f>INDEX('Лист1'!$A$1:$A$10,$J7)+(INDEX('Лист1'!$A$1:$A$10,$J7+1)-INDEX('Лист1'!$A$1:$A$10,$J7))*($B7-INDEX('Лист1'!$B$1:$B$10,$J7))/(INDEX('Лист1'!$B$1:$B$10,$J7+1)-INDEX('Лист1'!$B$1:$B$10,$J7))</f>
        <v/>
      </c>
      <c r="F7" s="26">
        <f>(INDEX('Лист1'!$A$1:$A$10,$K7)*(INDEX('Лист1'!$B$1:$B$10,$K7+1)-$B7)+INDEX('Лист1'!$A$1:$A$10,$K7+1)*($B7-INDEX('Лист1'!$B$1:$B$10,$K7)))/(INDEX('Лист1'!$B$1:$B$10,$K7+1)-INDEX('Лист1'!$B$1:$B$10,$K7))</f>
        <v/>
      </c>
      <c r="G7" s="27">
        <f>ABS(E7-C7)</f>
        <v/>
      </c>
      <c r="H7" s="27">
        <f>ABS(E7-F7)</f>
        <v/>
      </c>
      <c r="J7" s="22">
        <f>MIN(9,MAX(1,SUMPRODUCT(('Лист1'!$B$1:$B$10&gt;=$B7)*1)))</f>
        <v/>
      </c>
      <c r="K7" s="22">
        <f>MIN(9,MAX(1,MATCH($B7,'Лист1'!$B$1:$B$10,-1)))</f>
        <v/>
      </c>
    </row>
    <row r="8">
      <c r="A8" s="24" t="n">
        <v>4</v>
      </c>
      <c r="B8" s="25">
        <f>'Лист1'!B4</f>
        <v/>
      </c>
      <c r="C8" s="26">
        <f>'Лист1'!A4</f>
        <v/>
      </c>
      <c r="E8" s="26">
        <f>INDEX('Лист1'!$A$1:$A$10,$J8)+(INDEX('Лист1'!$A$1:$A$10,$J8+1)-INDEX('Лист1'!$A$1:$A$10,$J8))*($B8-INDEX('Лист1'!$B$1:$B$10,$J8))/(INDEX('Лист1'!$B$1:$B$10,$J8+1)-INDEX('Лист1'!$B$1:$B$10,$J8))</f>
        <v/>
      </c>
      <c r="F8" s="26">
        <f>(INDEX('Лист1'!$A$1:$A$10,$K8)*(INDEX('Лист1'!$B$1:$B$10,$K8+1)-$B8)+INDEX('Лист1'!$A$1:$A$10,$K8+1)*($B8-INDEX('Лист1'!$B$1:$B$10,$K8)))/(INDEX('Лист1'!$B$1:$B$10,$K8+1)-INDEX('Лист1'!$B$1:$B$10,$K8))</f>
        <v/>
      </c>
      <c r="G8" s="27">
        <f>ABS(E8-C8)</f>
        <v/>
      </c>
      <c r="H8" s="27">
        <f>ABS(E8-F8)</f>
        <v/>
      </c>
      <c r="J8" s="22">
        <f>MIN(9,MAX(1,SUMPRODUCT(('Лист1'!$B$1:$B$10&gt;=$B8)*1)))</f>
        <v/>
      </c>
      <c r="K8" s="22">
        <f>MIN(9,MAX(1,MATCH($B8,'Лист1'!$B$1:$B$10,-1)))</f>
        <v/>
      </c>
    </row>
    <row r="9">
      <c r="A9" s="24" t="n">
        <v>5</v>
      </c>
      <c r="B9" s="25">
        <f>'Лист1'!B5</f>
        <v/>
      </c>
      <c r="C9" s="26">
        <f>'Лист1'!A5</f>
        <v/>
      </c>
      <c r="E9" s="26">
        <f>INDEX('Лист1'!$A$1:$A$10,$J9)+(INDEX('Лист1'!$A$1:$A$10,$J9+1)-INDEX('Лист1'!$A$1:$A$10,$J9))*($B9-INDEX('Лист1'!$B$1:$B$10,$J9))/(INDEX('Лист1'!$B$1:$B$10,$J9+1)-INDEX('Лист1'!$B$1:$B$10,$J9))</f>
        <v/>
      </c>
      <c r="F9" s="26">
        <f>(INDEX('Лист1'!$A$1:$A$10,$K9)*(INDEX('Лист1'!$B$1:$B$10,$K9+1)-$B9)+INDEX('Лист1'!$A$1:$A$10,$K9+1)*($B9-INDEX('Лист1'!$B$1:$B$10,$K9)))/(INDEX('Лист1'!$B$1:$B$10,$K9+1)-INDEX('Лист1'!$B$1:$B$10,$K9))</f>
        <v/>
      </c>
      <c r="G9" s="27">
        <f>ABS(E9-C9)</f>
        <v/>
      </c>
      <c r="H9" s="27">
        <f>ABS(E9-F9)</f>
        <v/>
      </c>
      <c r="J9" s="22">
        <f>MIN(9,MAX(1,SUMPRODUCT(('Лист1'!$B$1:$B$10&gt;=$B9)*1)))</f>
        <v/>
      </c>
      <c r="K9" s="22">
        <f>MIN(9,MAX(1,MATCH($B9,'Лист1'!$B$1:$B$10,-1)))</f>
        <v/>
      </c>
    </row>
    <row r="10">
      <c r="A10" s="24" t="n">
        <v>6</v>
      </c>
      <c r="B10" s="25">
        <f>'Лист1'!B6</f>
        <v/>
      </c>
      <c r="C10" s="26">
        <f>'Лист1'!A6</f>
        <v/>
      </c>
      <c r="E10" s="26">
        <f>INDEX('Лист1'!$A$1:$A$10,$J10)+(INDEX('Лист1'!$A$1:$A$10,$J10+1)-INDEX('Лист1'!$A$1:$A$10,$J10))*($B10-INDEX('Лист1'!$B$1:$B$10,$J10))/(INDEX('Лист1'!$B$1:$B$10,$J10+1)-INDEX('Лист1'!$B$1:$B$10,$J10))</f>
        <v/>
      </c>
      <c r="F10" s="26">
        <f>(INDEX('Лист1'!$A$1:$A$10,$K10)*(INDEX('Лист1'!$B$1:$B$10,$K10+1)-$B10)+INDEX('Лист1'!$A$1:$A$10,$K10+1)*($B10-INDEX('Лист1'!$B$1:$B$10,$K10)))/(INDEX('Лист1'!$B$1:$B$10,$K10+1)-INDEX('Лист1'!$B$1:$B$10,$K10))</f>
        <v/>
      </c>
      <c r="G10" s="27">
        <f>ABS(E10-C10)</f>
        <v/>
      </c>
      <c r="H10" s="27">
        <f>ABS(E10-F10)</f>
        <v/>
      </c>
      <c r="J10" s="22">
        <f>MIN(9,MAX(1,SUMPRODUCT(('Лист1'!$B$1:$B$10&gt;=$B10)*1)))</f>
        <v/>
      </c>
      <c r="K10" s="22">
        <f>MIN(9,MAX(1,MATCH($B10,'Лист1'!$B$1:$B$10,-1)))</f>
        <v/>
      </c>
    </row>
    <row r="11">
      <c r="A11" s="24" t="n">
        <v>7</v>
      </c>
      <c r="B11" s="25">
        <f>'Лист1'!B7</f>
        <v/>
      </c>
      <c r="C11" s="26">
        <f>'Лист1'!A7</f>
        <v/>
      </c>
      <c r="E11" s="26">
        <f>INDEX('Лист1'!$A$1:$A$10,$J11)+(INDEX('Лист1'!$A$1:$A$10,$J11+1)-INDEX('Лист1'!$A$1:$A$10,$J11))*($B11-INDEX('Лист1'!$B$1:$B$10,$J11))/(INDEX('Лист1'!$B$1:$B$10,$J11+1)-INDEX('Лист1'!$B$1:$B$10,$J11))</f>
        <v/>
      </c>
      <c r="F11" s="26">
        <f>(INDEX('Лист1'!$A$1:$A$10,$K11)*(INDEX('Лист1'!$B$1:$B$10,$K11+1)-$B11)+INDEX('Лист1'!$A$1:$A$10,$K11+1)*($B11-INDEX('Лист1'!$B$1:$B$10,$K11)))/(INDEX('Лист1'!$B$1:$B$10,$K11+1)-INDEX('Лист1'!$B$1:$B$10,$K11))</f>
        <v/>
      </c>
      <c r="G11" s="27">
        <f>ABS(E11-C11)</f>
        <v/>
      </c>
      <c r="H11" s="27">
        <f>ABS(E11-F11)</f>
        <v/>
      </c>
      <c r="J11" s="22">
        <f>MIN(9,MAX(1,SUMPRODUCT(('Лист1'!$B$1:$B$10&gt;=$B11)*1)))</f>
        <v/>
      </c>
      <c r="K11" s="22">
        <f>MIN(9,MAX(1,MATCH($B11,'Лист1'!$B$1:$B$10,-1)))</f>
        <v/>
      </c>
    </row>
    <row r="12">
      <c r="A12" s="24" t="n">
        <v>8</v>
      </c>
      <c r="B12" s="25">
        <f>'Лист1'!B8</f>
        <v/>
      </c>
      <c r="C12" s="26">
        <f>'Лист1'!A8</f>
        <v/>
      </c>
      <c r="E12" s="26">
        <f>INDEX('Лист1'!$A$1:$A$10,$J12)+(INDEX('Лист1'!$A$1:$A$10,$J12+1)-INDEX('Лист1'!$A$1:$A$10,$J12))*($B12-INDEX('Лист1'!$B$1:$B$10,$J12))/(INDEX('Лист1'!$B$1:$B$10,$J12+1)-INDEX('Лист1'!$B$1:$B$10,$J12))</f>
        <v/>
      </c>
      <c r="F12" s="26">
        <f>(INDEX('Лист1'!$A$1:$A$10,$K12)*(INDEX('Лист1'!$B$1:$B$10,$K12+1)-$B12)+INDEX('Лист1'!$A$1:$A$10,$K12+1)*($B12-INDEX('Лист1'!$B$1:$B$10,$K12)))/(INDEX('Лист1'!$B$1:$B$10,$K12+1)-INDEX('Лист1'!$B$1:$B$10,$K12))</f>
        <v/>
      </c>
      <c r="G12" s="27">
        <f>ABS(E12-C12)</f>
        <v/>
      </c>
      <c r="H12" s="27">
        <f>ABS(E12-F12)</f>
        <v/>
      </c>
      <c r="J12" s="22">
        <f>MIN(9,MAX(1,SUMPRODUCT(('Лист1'!$B$1:$B$10&gt;=$B12)*1)))</f>
        <v/>
      </c>
      <c r="K12" s="22">
        <f>MIN(9,MAX(1,MATCH($B12,'Лист1'!$B$1:$B$10,-1)))</f>
        <v/>
      </c>
    </row>
    <row r="13">
      <c r="A13" s="24" t="n">
        <v>9</v>
      </c>
      <c r="B13" s="25">
        <f>'Лист1'!B9</f>
        <v/>
      </c>
      <c r="C13" s="26">
        <f>'Лист1'!A9</f>
        <v/>
      </c>
      <c r="E13" s="26">
        <f>INDEX('Лист1'!$A$1:$A$10,$J13)+(INDEX('Лист1'!$A$1:$A$10,$J13+1)-INDEX('Лист1'!$A$1:$A$10,$J13))*($B13-INDEX('Лист1'!$B$1:$B$10,$J13))/(INDEX('Лист1'!$B$1:$B$10,$J13+1)-INDEX('Лист1'!$B$1:$B$10,$J13))</f>
        <v/>
      </c>
      <c r="F13" s="26">
        <f>(INDEX('Лист1'!$A$1:$A$10,$K13)*(INDEX('Лист1'!$B$1:$B$10,$K13+1)-$B13)+INDEX('Лист1'!$A$1:$A$10,$K13+1)*($B13-INDEX('Лист1'!$B$1:$B$10,$K13)))/(INDEX('Лист1'!$B$1:$B$10,$K13+1)-INDEX('Лист1'!$B$1:$B$10,$K13))</f>
        <v/>
      </c>
      <c r="G13" s="27">
        <f>ABS(E13-C13)</f>
        <v/>
      </c>
      <c r="H13" s="27">
        <f>ABS(E13-F13)</f>
        <v/>
      </c>
      <c r="J13" s="22">
        <f>MIN(9,MAX(1,SUMPRODUCT(('Лист1'!$B$1:$B$10&gt;=$B13)*1)))</f>
        <v/>
      </c>
      <c r="K13" s="22">
        <f>MIN(9,MAX(1,MATCH($B13,'Лист1'!$B$1:$B$10,-1)))</f>
        <v/>
      </c>
    </row>
    <row r="14">
      <c r="A14" s="24" t="n">
        <v>10</v>
      </c>
      <c r="B14" s="25">
        <f>'Лист1'!B10</f>
        <v/>
      </c>
      <c r="C14" s="26">
        <f>'Лист1'!A10</f>
        <v/>
      </c>
      <c r="E14" s="26">
        <f>INDEX('Лист1'!$A$1:$A$10,$J14)+(INDEX('Лист1'!$A$1:$A$10,$J14+1)-INDEX('Лист1'!$A$1:$A$10,$J14))*($B14-INDEX('Лист1'!$B$1:$B$10,$J14))/(INDEX('Лист1'!$B$1:$B$10,$J14+1)-INDEX('Лист1'!$B$1:$B$10,$J14))</f>
        <v/>
      </c>
      <c r="F14" s="26">
        <f>(INDEX('Лист1'!$A$1:$A$10,$K14)*(INDEX('Лист1'!$B$1:$B$10,$K14+1)-$B14)+INDEX('Лист1'!$A$1:$A$10,$K14+1)*($B14-INDEX('Лист1'!$B$1:$B$10,$K14)))/(INDEX('Лист1'!$B$1:$B$10,$K14+1)-INDEX('Лист1'!$B$1:$B$10,$K14))</f>
        <v/>
      </c>
      <c r="G14" s="27">
        <f>ABS(E14-C14)</f>
        <v/>
      </c>
      <c r="H14" s="27">
        <f>ABS(E14-F14)</f>
        <v/>
      </c>
      <c r="J14" s="22">
        <f>MIN(9,MAX(1,SUMPRODUCT(('Лист1'!$B$1:$B$10&gt;=$B14)*1)))</f>
        <v/>
      </c>
      <c r="K14" s="22">
        <f>MIN(9,MAX(1,MATCH($B14,'Лист1'!$B$1:$B$10,-1)))</f>
        <v/>
      </c>
    </row>
    <row r="16">
      <c r="C16" s="10" t="inlineStr">
        <is>
          <t>Максимальное отклонение, % абс.:</t>
        </is>
      </c>
      <c r="G16" s="28">
        <f>MAX(G5:G14)</f>
        <v/>
      </c>
      <c r="H16" s="28">
        <f>MAX(H5:H14)</f>
        <v/>
      </c>
    </row>
    <row r="17">
      <c r="C17" s="11">
        <f>IF(MAX(G5:G14)&lt;0.0000001,"Проверка пройдена: расчёт точно воспроизводит все 10 точек таблицы","ПРОВЕРКА НЕ ПРОЙДЕНА — таблица изменена или нарушен порядок убывания плотности")</f>
        <v/>
      </c>
    </row>
    <row r="19">
      <c r="A19" s="10" t="inlineStr">
        <is>
          <t>ЧУВСТВИТЕЛЬНОСТЬ РАСЧЁТА ПО УЧАСТКАМ</t>
        </is>
      </c>
    </row>
    <row r="20">
      <c r="A20" s="9" t="inlineStr">
        <is>
          <t>Чем выше концентрация, тем меньше изменение плотности на 10 % масс. — тем сильнее результат зависит от точности измерения плотности и от температуры, к которой приведена плотность.</t>
        </is>
      </c>
    </row>
    <row r="21">
      <c r="A21" s="23" t="inlineStr">
        <is>
          <t>Участок, % масс.</t>
        </is>
      </c>
      <c r="C21" s="23" t="inlineStr">
        <is>
          <t>Δρ на участке, г/см³</t>
        </is>
      </c>
      <c r="E21" s="23" t="inlineStr">
        <is>
          <t>Крутизна dC/dρ, % на 1 г/см³</t>
        </is>
      </c>
      <c r="G21" s="23" t="inlineStr">
        <is>
          <t>Сдвиг результата при ошибке ρ 0,001 г/см³, % масс.</t>
        </is>
      </c>
    </row>
    <row r="22">
      <c r="A22" s="29">
        <f>'Лист1'!A2&amp;" – "&amp;'Лист1'!A1</f>
        <v/>
      </c>
      <c r="C22" s="25">
        <f>'Лист1'!B1-'Лист1'!B2</f>
        <v/>
      </c>
      <c r="E22" s="24">
        <f>('Лист1'!A1-'Лист1'!A2)/('Лист1'!B1-'Лист1'!B2)</f>
        <v/>
      </c>
      <c r="G22" s="30">
        <f>E22*0.001</f>
        <v/>
      </c>
    </row>
    <row r="23">
      <c r="A23" s="29">
        <f>'Лист1'!A3&amp;" – "&amp;'Лист1'!A2</f>
        <v/>
      </c>
      <c r="C23" s="25">
        <f>'Лист1'!B2-'Лист1'!B3</f>
        <v/>
      </c>
      <c r="E23" s="24">
        <f>('Лист1'!A2-'Лист1'!A3)/('Лист1'!B2-'Лист1'!B3)</f>
        <v/>
      </c>
      <c r="G23" s="30">
        <f>E23*0.001</f>
        <v/>
      </c>
    </row>
    <row r="24">
      <c r="A24" s="29">
        <f>'Лист1'!A4&amp;" – "&amp;'Лист1'!A3</f>
        <v/>
      </c>
      <c r="C24" s="25">
        <f>'Лист1'!B3-'Лист1'!B4</f>
        <v/>
      </c>
      <c r="E24" s="24">
        <f>('Лист1'!A3-'Лист1'!A4)/('Лист1'!B3-'Лист1'!B4)</f>
        <v/>
      </c>
      <c r="G24" s="30">
        <f>E24*0.001</f>
        <v/>
      </c>
    </row>
    <row r="25">
      <c r="A25" s="29">
        <f>'Лист1'!A5&amp;" – "&amp;'Лист1'!A4</f>
        <v/>
      </c>
      <c r="C25" s="25">
        <f>'Лист1'!B4-'Лист1'!B5</f>
        <v/>
      </c>
      <c r="E25" s="24">
        <f>('Лист1'!A4-'Лист1'!A5)/('Лист1'!B4-'Лист1'!B5)</f>
        <v/>
      </c>
      <c r="G25" s="30">
        <f>E25*0.001</f>
        <v/>
      </c>
    </row>
    <row r="26">
      <c r="A26" s="29">
        <f>'Лист1'!A6&amp;" – "&amp;'Лист1'!A5</f>
        <v/>
      </c>
      <c r="C26" s="25">
        <f>'Лист1'!B5-'Лист1'!B6</f>
        <v/>
      </c>
      <c r="E26" s="24">
        <f>('Лист1'!A5-'Лист1'!A6)/('Лист1'!B5-'Лист1'!B6)</f>
        <v/>
      </c>
      <c r="G26" s="30">
        <f>E26*0.001</f>
        <v/>
      </c>
    </row>
    <row r="27">
      <c r="A27" s="29">
        <f>'Лист1'!A7&amp;" – "&amp;'Лист1'!A6</f>
        <v/>
      </c>
      <c r="C27" s="25">
        <f>'Лист1'!B6-'Лист1'!B7</f>
        <v/>
      </c>
      <c r="E27" s="24">
        <f>('Лист1'!A6-'Лист1'!A7)/('Лист1'!B6-'Лист1'!B7)</f>
        <v/>
      </c>
      <c r="G27" s="30">
        <f>E27*0.001</f>
        <v/>
      </c>
    </row>
    <row r="28">
      <c r="A28" s="29">
        <f>'Лист1'!A8&amp;" – "&amp;'Лист1'!A7</f>
        <v/>
      </c>
      <c r="C28" s="25">
        <f>'Лист1'!B7-'Лист1'!B8</f>
        <v/>
      </c>
      <c r="E28" s="24">
        <f>('Лист1'!A7-'Лист1'!A8)/('Лист1'!B7-'Лист1'!B8)</f>
        <v/>
      </c>
      <c r="G28" s="30">
        <f>E28*0.001</f>
        <v/>
      </c>
    </row>
    <row r="29">
      <c r="A29" s="29">
        <f>'Лист1'!A9&amp;" – "&amp;'Лист1'!A8</f>
        <v/>
      </c>
      <c r="C29" s="25">
        <f>'Лист1'!B8-'Лист1'!B9</f>
        <v/>
      </c>
      <c r="E29" s="24">
        <f>('Лист1'!A8-'Лист1'!A9)/('Лист1'!B8-'Лист1'!B9)</f>
        <v/>
      </c>
      <c r="G29" s="30">
        <f>E29*0.001</f>
        <v/>
      </c>
    </row>
    <row r="30">
      <c r="A30" s="29">
        <f>'Лист1'!A10&amp;" – "&amp;'Лист1'!A9</f>
        <v/>
      </c>
      <c r="C30" s="25">
        <f>'Лист1'!B9-'Лист1'!B10</f>
        <v/>
      </c>
      <c r="E30" s="24">
        <f>('Лист1'!A9-'Лист1'!A10)/('Лист1'!B9-'Лист1'!B10)</f>
        <v/>
      </c>
      <c r="G30" s="30">
        <f>E30*0.001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tabSelected="1" workbookViewId="0">
      <selection activeCell="B20" sqref="B20"/>
    </sheetView>
  </sheetViews>
  <sheetFormatPr baseColWidth="8" defaultRowHeight="15"/>
  <cols>
    <col width="24" customWidth="1" min="1" max="1"/>
    <col width="10.5" bestFit="1" customWidth="1" min="2" max="2"/>
  </cols>
  <sheetData>
    <row r="1">
      <c r="A1" s="31" t="n">
        <v>100</v>
      </c>
      <c r="B1" s="31" t="n">
        <v>1.116</v>
      </c>
    </row>
    <row r="2">
      <c r="A2" s="31" t="n">
        <v>90</v>
      </c>
      <c r="B2" s="31" t="n">
        <v>1.1121</v>
      </c>
    </row>
    <row r="3">
      <c r="A3" s="31" t="n">
        <v>80</v>
      </c>
      <c r="B3" s="31" t="n">
        <v>1.10577</v>
      </c>
    </row>
    <row r="4">
      <c r="A4" s="31" t="n">
        <v>70</v>
      </c>
      <c r="B4" s="31" t="n">
        <v>1.09759</v>
      </c>
    </row>
    <row r="5">
      <c r="A5" s="31" t="n">
        <v>60</v>
      </c>
      <c r="B5" s="31" t="n">
        <v>1.08634</v>
      </c>
    </row>
    <row r="6">
      <c r="A6" s="31" t="n">
        <v>50</v>
      </c>
      <c r="B6" s="31" t="n">
        <v>1.07287</v>
      </c>
    </row>
    <row r="7">
      <c r="A7" s="31" t="n">
        <v>40</v>
      </c>
      <c r="B7" s="31" t="n">
        <v>1.0593</v>
      </c>
    </row>
    <row r="8">
      <c r="A8" s="31" t="n">
        <v>30</v>
      </c>
      <c r="B8" s="31" t="n">
        <v>1.04376</v>
      </c>
    </row>
    <row r="9">
      <c r="A9" s="31" t="n">
        <v>20</v>
      </c>
      <c r="B9" s="31" t="n">
        <v>1.02941</v>
      </c>
    </row>
    <row r="10">
      <c r="A10" s="31" t="n">
        <v>10</v>
      </c>
      <c r="B10" s="31" t="n">
        <v>1.01322</v>
      </c>
    </row>
    <row r="11"/>
    <row r="12"/>
    <row r="13"/>
    <row r="14"/>
    <row r="15"/>
    <row r="16"/>
    <row r="17">
      <c r="A17" s="10" t="inlineStr">
        <is>
          <t>ИСХОДНАЯ ЗАВИСИМОСТЬ (A1:B10): столбец A — концентрация ДЭГ, % масс., столбец B — плотность ДЭГ, г/см³.</t>
        </is>
      </c>
    </row>
    <row r="18">
      <c r="A18" s="9" t="inlineStr">
        <is>
          <t>Лист защищён от изменений: ввод измеренной плотности выполняется на листе «Расчёт» в ячейке B6, а не здесь. Чтобы править саму зависимость: «Рецензирование» → «Снять защиту листа» (пароль не задан).</t>
        </is>
      </c>
    </row>
    <row r="19">
      <c r="A19" s="32">
        <f>IF(AND(COUNT($B$1:$B$10)=10,SUMPRODUCT(($B$1:$B$9&lt;=$B$2:$B$10)*1)=0),"Таблица цела: 10 точек, плотность строго убывает.","ВНИМАНИЕ: таблица повреждена — есть одинаковые или неубывающие значения плотности. Проверьте B1:B10, восстановите исходные значения (60 % = 1,08634; 50 % = 1,07287).")</f>
        <v/>
      </c>
    </row>
    <row r="20">
      <c r="A20" s="9" t="inlineStr">
        <is>
          <t>Проверка совпадения расчёта с этой таблицей — на листе «Проверка».</t>
        </is>
      </c>
    </row>
    <row r="21"/>
    <row r="22"/>
    <row r="23"/>
    <row r="24"/>
    <row r="25"/>
    <row r="26"/>
    <row r="27"/>
    <row r="28" ht="15.75" customHeight="1" thickBot="1">
      <c r="A28" s="33" t="inlineStr">
        <is>
          <t>Коэфициенты из уравнения тренда (справочно, в расчёте не используются)</t>
        </is>
      </c>
      <c r="B28" s="34" t="n"/>
      <c r="C28" s="34" t="n"/>
    </row>
    <row r="29">
      <c r="A29" s="2" t="inlineStr">
        <is>
          <t>наклон</t>
        </is>
      </c>
      <c r="B29" s="3" t="inlineStr">
        <is>
          <t>отрезок</t>
        </is>
      </c>
      <c r="C29" s="4" t="inlineStr">
        <is>
          <t>массив</t>
        </is>
      </c>
    </row>
    <row r="30" ht="15.75" customHeight="1" thickBot="1">
      <c r="A30" s="35">
        <f>SLOPE(A1:A10,B1:B10)</f>
        <v/>
      </c>
      <c r="B30" s="36">
        <f>INTERCEPT(A1:A10,B1:B10)</f>
        <v/>
      </c>
      <c r="C30" s="37">
        <f>CORREL(A1:A10,B1:B10)^2</f>
        <v/>
      </c>
    </row>
    <row r="31"/>
    <row r="32"/>
    <row r="33"/>
    <row r="34"/>
    <row r="35"/>
    <row r="36"/>
    <row r="37"/>
    <row r="38"/>
    <row r="39"/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1">
    <mergeCell ref="A28:C28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Мигранов Азамат Раисович</dc:creator>
  <dcterms:created xsi:type="dcterms:W3CDTF">2026-09-19T13:29:41Z</dcterms:created>
  <dcterms:modified xsi:type="dcterms:W3CDTF">2026-09-20T03:59:29Z</dcterms:modified>
  <cp:lastModifiedBy>Мигранов Азамат Раисович</cp:lastModifiedBy>
</cp:coreProperties>
</file>