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17700" tabRatio="600" firstSheet="0" activeTab="0" autoFilterDateGrouping="1"/>
  </bookViews>
  <sheets>
    <sheet name="Расчёт" sheetId="1" state="visible" r:id="rId1"/>
    <sheet name="Лист1" sheetId="2" state="visible" r:id="rId2"/>
  </sheets>
  <definedNames/>
  <calcPr calcId="162913" calcMode="auto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0"/>
    <numFmt numFmtId="167" formatCode="0.0000"/>
  </numFmts>
  <fonts count="18">
    <font>
      <name val="PT Astra Serif"/>
      <charset val="204"/>
      <family val="2"/>
      <color theme="1"/>
      <sz val="11"/>
    </font>
    <font>
      <name val="Arial CYR"/>
      <charset val="204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8"/>
    </font>
    <font>
      <name val="Calibri"/>
      <charset val="204"/>
      <family val="2"/>
      <i val="1"/>
      <color theme="1"/>
      <sz val="11"/>
      <scheme val="minor"/>
    </font>
    <font>
      <name val="Tahoma"/>
      <charset val="204"/>
      <family val="2"/>
      <b val="1"/>
      <color indexed="81"/>
      <sz val="9"/>
    </font>
    <font>
      <name val="Tahoma"/>
      <charset val="204"/>
      <family val="2"/>
      <color indexed="81"/>
      <sz val="9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1"/>
    </font>
    <font>
      <name val="Arial"/>
      <b val="1"/>
      <color rgb="000000FF"/>
      <sz val="12"/>
    </font>
    <font>
      <name val="Arial"/>
      <b val="1"/>
      <sz val="12"/>
    </font>
    <font>
      <name val="Arial"/>
      <b val="1"/>
      <color rgb="00006400"/>
      <sz val="14"/>
    </font>
    <font>
      <name val="Arial"/>
      <b val="1"/>
      <color rgb="00808080"/>
      <sz val="10"/>
    </font>
    <font>
      <name val="Arial"/>
      <color theme="1"/>
      <sz val="11"/>
    </font>
    <font>
      <name val="Arial"/>
      <sz val="10"/>
    </font>
    <font>
      <name val="Arial"/>
      <i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3">
    <xf numFmtId="0" fontId="0" fillId="0" borderId="0"/>
    <xf numFmtId="0" fontId="1" fillId="0" borderId="0"/>
    <xf numFmtId="0" fontId="2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1">
      <alignment horizontal="center"/>
    </xf>
    <xf numFmtId="0" fontId="3" fillId="2" borderId="2" applyAlignment="1" pivotButton="0" quotePrefix="0" xfId="2">
      <alignment horizontal="center" vertical="center"/>
    </xf>
    <xf numFmtId="0" fontId="3" fillId="2" borderId="3" applyAlignment="1" pivotButton="0" quotePrefix="0" xfId="2">
      <alignment horizontal="center" vertical="center"/>
    </xf>
    <xf numFmtId="0" fontId="3" fillId="2" borderId="4" applyAlignment="1" pivotButton="0" quotePrefix="0" xfId="2">
      <alignment horizontal="center" vertical="center"/>
    </xf>
    <xf numFmtId="164" fontId="4" fillId="2" borderId="5" pivotButton="0" quotePrefix="0" xfId="2"/>
    <xf numFmtId="2" fontId="4" fillId="2" borderId="1" pivotButton="0" quotePrefix="0" xfId="2"/>
    <xf numFmtId="165" fontId="4" fillId="2" borderId="6" pivotButton="0" quotePrefix="0" xfId="2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6" fontId="11" fillId="3" borderId="7" applyAlignment="1" pivotButton="0" quotePrefix="0" xfId="0">
      <alignment horizontal="center" vertical="center"/>
    </xf>
    <xf numFmtId="0" fontId="12" fillId="0" borderId="0" pivotButton="0" quotePrefix="0" xfId="0"/>
    <xf numFmtId="165" fontId="13" fillId="4" borderId="7" applyAlignment="1" pivotButton="0" quotePrefix="0" xfId="0">
      <alignment horizontal="center" vertical="center"/>
    </xf>
    <xf numFmtId="166" fontId="10" fillId="5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2" fontId="10" fillId="5" borderId="7" applyAlignment="1" pivotButton="0" quotePrefix="0" xfId="0">
      <alignment horizontal="center" vertical="center"/>
    </xf>
    <xf numFmtId="167" fontId="10" fillId="5" borderId="7" applyAlignment="1" pivotButton="0" quotePrefix="0" xfId="0">
      <alignment horizontal="center" vertical="center"/>
    </xf>
    <xf numFmtId="0" fontId="14" fillId="0" borderId="0" pivotButton="0" quotePrefix="0" xfId="0"/>
    <xf numFmtId="1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9" fillId="0" borderId="0" applyAlignment="1" pivotButton="0" quotePrefix="0" xfId="0">
      <alignment horizontal="center" wrapText="1"/>
    </xf>
    <xf numFmtId="166" fontId="15" fillId="0" borderId="0" pivotButton="0" quotePrefix="0" xfId="0"/>
    <xf numFmtId="165" fontId="15" fillId="0" borderId="0" pivotButton="0" quotePrefix="0" xfId="0"/>
    <xf numFmtId="164" fontId="15" fillId="0" borderId="0" pivotButton="0" quotePrefix="0" xfId="0"/>
    <xf numFmtId="0" fontId="16" fillId="2" borderId="1" applyAlignment="1" pivotButton="0" quotePrefix="0" xfId="1">
      <alignment horizontal="center"/>
    </xf>
    <xf numFmtId="0" fontId="0" fillId="0" borderId="1" pivotButton="0" quotePrefix="0" xfId="0"/>
    <xf numFmtId="164" fontId="17" fillId="2" borderId="5" pivotButton="0" quotePrefix="0" xfId="2"/>
    <xf numFmtId="2" fontId="17" fillId="2" borderId="1" pivotButton="0" quotePrefix="0" xfId="2"/>
    <xf numFmtId="165" fontId="17" fillId="2" borderId="6" pivotButton="0" quotePrefix="0" xfId="2"/>
  </cellXfs>
  <cellStyles count="3">
    <cellStyle name="Обычный" xfId="0" builtinId="0"/>
    <cellStyle name="Обычный 3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scatterChart>
        <scatterStyle val="smooth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Лист1!$A$1:$A$10</f>
              <numCache>
                <formatCode>General</formatCode>
                <ptCount val="10"/>
                <pt idx="0">
                  <v>100</v>
                </pt>
                <pt idx="1">
                  <v>90</v>
                </pt>
                <pt idx="2">
                  <v>80</v>
                </pt>
                <pt idx="3">
                  <v>70</v>
                </pt>
                <pt idx="4">
                  <v>60</v>
                </pt>
                <pt idx="5">
                  <v>50</v>
                </pt>
                <pt idx="6">
                  <v>40</v>
                </pt>
                <pt idx="7">
                  <v>30</v>
                </pt>
                <pt idx="8">
                  <v>20</v>
                </pt>
                <pt idx="9">
                  <v>10</v>
                </pt>
              </numCache>
            </numRef>
          </xVal>
          <yVal>
            <numRef>
              <f>Лист1!$B$1:$B$10</f>
              <numCache>
                <formatCode>General</formatCode>
                <ptCount val="10"/>
                <pt idx="0">
                  <v>1.116</v>
                </pt>
                <pt idx="1">
                  <v>1.1121</v>
                </pt>
                <pt idx="2">
                  <v>1.10577</v>
                </pt>
                <pt idx="3">
                  <v>1.09759</v>
                </pt>
                <pt idx="4">
                  <v>1.08634</v>
                </pt>
                <pt idx="5">
                  <v>1.07287</v>
                </pt>
                <pt idx="6">
                  <v>1.0593</v>
                </pt>
                <pt idx="7">
                  <v>1.04376</v>
                </pt>
                <pt idx="8">
                  <v>1.02941</v>
                </pt>
                <pt idx="9">
                  <v>1.01322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3799039"/>
        <axId val="593802367"/>
      </scatterChart>
      <valAx>
        <axId val="593799039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3802367"/>
        <crosses val="autoZero"/>
        <crossBetween val="midCat"/>
      </valAx>
      <valAx>
        <axId val="59380236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3799039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Мигранов Азамат Раисович</author>
  </authors>
  <commentList>
    <comment ref="A29" authorId="0" shapeId="0">
      <text>
        <t xml:space="preserve">y=kx+b
коэфициент k
</t>
      </text>
    </comment>
    <comment ref="B29" authorId="0" shapeId="0">
      <text>
        <t xml:space="preserve">y=kx+b
коэфициент b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352425</colOff>
      <row>0</row>
      <rowOff>28575</rowOff>
    </from>
    <to>
      <col>9</col>
      <colOff>123825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2" customWidth="1" min="4" max="4"/>
  </cols>
  <sheetData>
    <row r="1">
      <c r="A1" s="8" t="inlineStr">
        <is>
          <t>РАСЧЁТ КОНЦЕНТРАЦИИ ДЭГ ПО ИЗМЕРЕННОЙ ПЛОТНОСТИ</t>
        </is>
      </c>
    </row>
    <row r="2">
      <c r="A2" s="9" t="inlineStr">
        <is>
          <t>Исходная зависимость — лист «Лист1»: A1:A10 — концентрация ДЭГ, % масс.; B1:B10 — плотность ДЭГ, г/см³.</t>
        </is>
      </c>
    </row>
    <row r="3">
      <c r="A3" s="9" t="inlineStr">
        <is>
          <t>Метод: линейная интерполяция между двумя соседними точками таблицы (расчёт точно проходит через все табличные значения).</t>
        </is>
      </c>
    </row>
    <row r="5">
      <c r="A5" s="10" t="inlineStr">
        <is>
          <t>ИСХОДНЫЕ ДАННЫЕ (заполняется пользователем)</t>
        </is>
      </c>
    </row>
    <row r="6">
      <c r="A6" s="11" t="inlineStr">
        <is>
          <t>Измеренная плотность ДЭГ, г/см³</t>
        </is>
      </c>
      <c r="B6" s="12" t="n">
        <v>1.085</v>
      </c>
      <c r="C6" s="9" t="inlineStr">
        <is>
          <t>← вводить только в эту жёлтую ячейку</t>
        </is>
      </c>
    </row>
    <row r="8">
      <c r="A8" s="10" t="inlineStr">
        <is>
          <t>РЕЗУЛЬТАТ РАСЧЁТА</t>
        </is>
      </c>
    </row>
    <row r="9">
      <c r="A9" s="13" t="inlineStr">
        <is>
          <t>Концентрация ДЭГ, % масс.</t>
        </is>
      </c>
      <c r="B9" s="14">
        <f>IF(NOT(ISNUMBER($B$6)),"Введите плотность (число)",IF(OR($B$6&lt;MIN('Лист1'!$B$1:$B$10),$B$6&gt;MAX('Лист1'!$B$1:$B$10)),"Вне диапазона таблицы",IFERROR(INDEX('Лист1'!$A$1:$A$10,$B$26)+(INDEX('Лист1'!$A$1:$A$10,$B$26+1)-INDEX('Лист1'!$A$1:$A$10,$B$26))*($B$6-INDEX('Лист1'!$B$1:$B$10,$B$26))/(INDEX('Лист1'!$B$1:$B$10,$B$26+1)-INDEX('Лист1'!$B$1:$B$10,$B$26)),"Ошибка расчёта")))</f>
        <v/>
      </c>
    </row>
    <row r="10">
      <c r="A10" s="11" t="inlineStr">
        <is>
          <t>Статус ввода</t>
        </is>
      </c>
      <c r="B10" s="11">
        <f>IF(NOT(ISNUMBER($B$6)),"Нет данных",IF(OR($B$6&lt;MIN('Лист1'!$B$1:$B$10),$B$6&gt;MAX('Лист1'!$B$1:$B$10)),"Вне диапазона таблицы — расчёт не выполняется","В пределах таблицы — выполнена интерполяция"))</f>
        <v/>
      </c>
    </row>
    <row r="12">
      <c r="A12" s="11" t="inlineStr">
        <is>
          <t>Диапазон применимости (по таблице), г/см³:</t>
        </is>
      </c>
      <c r="B12" s="15">
        <f>MIN('Лист1'!$B$1:$B$10)</f>
        <v/>
      </c>
      <c r="C12" s="15">
        <f>MAX('Лист1'!$B$1:$B$10)</f>
        <v/>
      </c>
      <c r="D12" s="9" t="inlineStr">
        <is>
          <t>мин. … макс. (что соответствует 10 … 100 % масс.)</t>
        </is>
      </c>
    </row>
    <row r="13">
      <c r="A13" s="11" t="inlineStr">
        <is>
          <t>Контроль исходной таблицы</t>
        </is>
      </c>
      <c r="B13" s="11">
        <f>IF(AND(COUNT('Лист1'!$B$1:$B$10)=10,SUMPRODUCT(('Лист1'!$B$1:$B$9&lt;='Лист1'!$B$2:$B$10)*1)=0),"таблица в порядке: 10 точек, плотность убывает","ВНИМАНИЕ: таблица на листе «Лист1» изменена — проверьте A1:B10")</f>
        <v/>
      </c>
    </row>
    <row r="14">
      <c r="A14" s="10" t="inlineStr">
        <is>
          <t>ИСПОЛЬЗОВАННЫЙ УЧАСТОК ТАБЛИЦЫ</t>
        </is>
      </c>
    </row>
    <row r="15">
      <c r="B15" s="16" t="inlineStr">
        <is>
          <t>нижняя точка</t>
        </is>
      </c>
      <c r="C15" s="16" t="inlineStr">
        <is>
          <t>верхняя точка</t>
        </is>
      </c>
    </row>
    <row r="16">
      <c r="A16" s="11" t="inlineStr">
        <is>
          <t>Плотность, г/см³</t>
        </is>
      </c>
      <c r="B16" s="15">
        <f>IF(ISNUMBER($B$26),INDEX('Лист1'!$B$1:$B$10,$B$26+1),"")</f>
        <v/>
      </c>
      <c r="C16" s="15">
        <f>IF(ISNUMBER($B$26),INDEX('Лист1'!$B$1:$B$10,$B$26+0),"")</f>
        <v/>
      </c>
    </row>
    <row r="17">
      <c r="A17" s="11" t="inlineStr">
        <is>
          <t>Концентрация, % масс.</t>
        </is>
      </c>
      <c r="B17" s="17">
        <f>IF(ISNUMBER($B$26),INDEX('Лист1'!$A$1:$A$10,$B$26+1),"")</f>
        <v/>
      </c>
      <c r="C17" s="17">
        <f>IF(ISNUMBER($B$26),INDEX('Лист1'!$A$1:$A$10,$B$26+0),"")</f>
        <v/>
      </c>
    </row>
    <row r="19">
      <c r="A19" s="10" t="inlineStr">
        <is>
          <t>СПРАВОЧНО: расчёт по уравнению линейного тренда  C = a·ρ + b</t>
        </is>
      </c>
    </row>
    <row r="20">
      <c r="A20" s="11" t="inlineStr">
        <is>
          <t>a (наклон)</t>
        </is>
      </c>
      <c r="B20" s="18">
        <f>SLOPE('Лист1'!$A$1:$A$10,'Лист1'!$B$1:$B$10)</f>
        <v/>
      </c>
    </row>
    <row r="21">
      <c r="A21" s="11" t="inlineStr">
        <is>
          <t>b (отрезок)</t>
        </is>
      </c>
      <c r="B21" s="18">
        <f>INTERCEPT('Лист1'!$A$1:$A$10,'Лист1'!$B$1:$B$10)</f>
        <v/>
      </c>
    </row>
    <row r="22">
      <c r="A22" s="11" t="inlineStr">
        <is>
          <t>R²</t>
        </is>
      </c>
      <c r="B22" s="19">
        <f>RSQ('Лист1'!$A$1:$A$10,'Лист1'!$B$1:$B$10)</f>
        <v/>
      </c>
    </row>
    <row r="23">
      <c r="A23" s="11" t="inlineStr">
        <is>
          <t>Концентрация по тренду, % масс.</t>
        </is>
      </c>
      <c r="B23" s="17">
        <f>IF(ISNUMBER($B$6),$B$20*$B$6+$B$21,"")</f>
        <v/>
      </c>
      <c r="C23" s="9" t="inlineStr">
        <is>
          <t>Только для сравнения: зависимость нелинейна, отклонение тренда от таблицы достигает ±10 % абс. В основном расчёте (ячейка B9) не используется.</t>
        </is>
      </c>
    </row>
    <row r="25">
      <c r="A25" s="20" t="inlineStr">
        <is>
          <t>Служебные ячейки (не изменять)</t>
        </is>
      </c>
    </row>
    <row r="26">
      <c r="A26" s="9" t="inlineStr">
        <is>
          <t>Номер нижней точки интервала</t>
        </is>
      </c>
      <c r="B26" s="21">
        <f>IF(AND(ISNUMBER($B$6),$B$6&gt;=MIN('Лист1'!$B$1:$B$10),$B$6&lt;=MAX('Лист1'!$B$1:$B$10)),MIN(9,MAX(1,SUMPRODUCT(('Лист1'!$B$1:$B$10&gt;=$B$6)*1))),"")</f>
        <v/>
      </c>
    </row>
    <row r="28">
      <c r="A28" s="10" t="inlineStr">
        <is>
          <t>ПОРЯДОК РАБОТЫ</t>
        </is>
      </c>
    </row>
    <row r="29">
      <c r="A29" s="11" t="inlineStr">
        <is>
          <t>1. Ввести измеренную плотность ДЭГ (г/см³) в жёлтую ячейку B6.</t>
        </is>
      </c>
    </row>
    <row r="30">
      <c r="A30" s="11" t="inlineStr">
        <is>
          <t>2. Концентрация ДЭГ в % масс. выводится в ячейке B9.</t>
        </is>
      </c>
    </row>
    <row r="31">
      <c r="A31" s="11" t="inlineStr">
        <is>
          <t>3. Если введённая плотность выходит за пределы таблицы (B12…C12), выводится «Вне диапазона таблицы»: экстраполяция за пределы зависимости не выполняется.</t>
        </is>
      </c>
    </row>
    <row r="32">
      <c r="A32" s="11" t="inlineStr">
        <is>
          <t>4. Плотность должна быть приведена к той же температуре, при которой получена исходная таблица (в исходных данных температура не указана — уточнить при необходимости).</t>
        </is>
      </c>
    </row>
    <row r="33">
      <c r="A33" s="11" t="inlineStr">
        <is>
          <t>5. Исходную таблицу на листе «Лист1» (A1:B10) можно дополнять/править — расчёт использует её напрямую; значения плотности должны оставаться в порядке убывания.</t>
        </is>
      </c>
    </row>
    <row r="34">
      <c r="A34" s="11" t="inlineStr">
        <is>
          <t>6. Вводить плотность только в ячейку B6 ЭТОГО листа («Расчёт»). Не вводите её на листе «Лист1»: там в ячейках B1:B10 лежит сама зависимость, и ввод поверх них испортит таблицу.</t>
        </is>
      </c>
    </row>
    <row r="35">
      <c r="A35" s="11" t="inlineStr">
        <is>
          <t>7. Если результат не меняется при вводе новой плотности — в Excel включён ручной пересчёт: «Формулы» → «Параметры вычислений» → «Автоматически» (или нажмите F9).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tabSelected="1" workbookViewId="0">
      <selection activeCell="B20" sqref="B20"/>
    </sheetView>
  </sheetViews>
  <sheetFormatPr baseColWidth="8" defaultRowHeight="15"/>
  <cols>
    <col width="12.875" customWidth="1" min="1" max="1"/>
    <col width="10.5" bestFit="1" customWidth="1" min="2" max="2"/>
    <col width="20" customWidth="1" min="4" max="4"/>
    <col width="16" customWidth="1" min="5" max="5"/>
    <col width="16" customWidth="1" min="6" max="6"/>
    <col width="18" customWidth="1" min="7" max="7"/>
    <col width="12" customWidth="1" min="8" max="8"/>
  </cols>
  <sheetData>
    <row r="1">
      <c r="A1" s="22" t="n">
        <v>100</v>
      </c>
      <c r="B1" s="22" t="n">
        <v>1.116</v>
      </c>
      <c r="D1" s="9" t="inlineStr">
        <is>
          <t>Исходная зависимость (не изменять структуру):</t>
        </is>
      </c>
      <c r="F1" s="22" t="n"/>
    </row>
    <row r="2">
      <c r="A2" s="22" t="n">
        <v>90</v>
      </c>
      <c r="B2" s="22" t="n">
        <v>1.1121</v>
      </c>
      <c r="D2" s="9" t="inlineStr">
        <is>
          <t>столбец A — концентрация ДЭГ, % масс.</t>
        </is>
      </c>
    </row>
    <row r="3">
      <c r="A3" s="22" t="n">
        <v>80</v>
      </c>
      <c r="B3" s="22" t="n">
        <v>1.10577</v>
      </c>
      <c r="D3" s="9" t="inlineStr">
        <is>
          <t>столбец B — плотность ДЭГ, г/см³</t>
        </is>
      </c>
    </row>
    <row r="4">
      <c r="A4" s="22" t="n">
        <v>70</v>
      </c>
      <c r="B4" s="22" t="n">
        <v>1.09759</v>
      </c>
    </row>
    <row r="5">
      <c r="A5" s="22" t="n">
        <v>60</v>
      </c>
      <c r="B5" s="22" t="n">
        <v>1.08634</v>
      </c>
    </row>
    <row r="6">
      <c r="A6" s="22" t="n">
        <v>50</v>
      </c>
      <c r="B6" s="22" t="n">
        <v>1.07287</v>
      </c>
      <c r="D6" s="10" t="inlineStr">
        <is>
          <t>ПРОВЕРКА МЕТОДА: расчёт по табличным значениям плотности должен вернуть табличную концентрацию</t>
        </is>
      </c>
    </row>
    <row r="7">
      <c r="A7" s="22" t="n">
        <v>40</v>
      </c>
      <c r="B7" s="22" t="n">
        <v>1.0593</v>
      </c>
      <c r="D7" s="23" t="inlineStr">
        <is>
          <t>Плотность, г/см³</t>
        </is>
      </c>
      <c r="E7" s="23" t="inlineStr">
        <is>
          <t>Расчёт, % масс.</t>
        </is>
      </c>
      <c r="F7" s="23" t="inlineStr">
        <is>
          <t>Таблица, % масс.</t>
        </is>
      </c>
      <c r="G7" s="23" t="inlineStr">
        <is>
          <t>Отклонение |расчёт − таблица|, % абс.</t>
        </is>
      </c>
      <c r="H7" s="23" t="inlineStr">
        <is>
          <t>служебн. k</t>
        </is>
      </c>
    </row>
    <row r="8">
      <c r="A8" s="22" t="n">
        <v>30</v>
      </c>
      <c r="B8" s="22" t="n">
        <v>1.04376</v>
      </c>
      <c r="D8" s="24">
        <f>B1</f>
        <v/>
      </c>
      <c r="E8" s="25">
        <f>INDEX($A$1:$A$10,H8)+(INDEX($A$1:$A$10,H8+1)-INDEX($A$1:$A$10,H8))*(D8-INDEX($B$1:$B$10,H8))/(INDEX($B$1:$B$10,H8+1)-INDEX($B$1:$B$10,H8))</f>
        <v/>
      </c>
      <c r="F8" s="25">
        <f>A1</f>
        <v/>
      </c>
      <c r="G8" s="26">
        <f>ABS(E8-F8)</f>
        <v/>
      </c>
      <c r="H8" s="22">
        <f>MIN(9,MAX(1,SUMPRODUCT(($B$1:$B$10&gt;=D8)*1)))</f>
        <v/>
      </c>
    </row>
    <row r="9">
      <c r="A9" s="22" t="n">
        <v>20</v>
      </c>
      <c r="B9" s="22" t="n">
        <v>1.02941</v>
      </c>
      <c r="D9" s="24">
        <f>B2</f>
        <v/>
      </c>
      <c r="E9" s="25">
        <f>INDEX($A$1:$A$10,H9)+(INDEX($A$1:$A$10,H9+1)-INDEX($A$1:$A$10,H9))*(D9-INDEX($B$1:$B$10,H9))/(INDEX($B$1:$B$10,H9+1)-INDEX($B$1:$B$10,H9))</f>
        <v/>
      </c>
      <c r="F9" s="25">
        <f>A2</f>
        <v/>
      </c>
      <c r="G9" s="26">
        <f>ABS(E9-F9)</f>
        <v/>
      </c>
      <c r="H9" s="22">
        <f>MIN(9,MAX(1,SUMPRODUCT(($B$1:$B$10&gt;=D9)*1)))</f>
        <v/>
      </c>
    </row>
    <row r="10">
      <c r="A10" s="22" t="n">
        <v>10</v>
      </c>
      <c r="B10" s="22" t="n">
        <v>1.01322</v>
      </c>
      <c r="D10" s="24">
        <f>B3</f>
        <v/>
      </c>
      <c r="E10" s="25">
        <f>INDEX($A$1:$A$10,H10)+(INDEX($A$1:$A$10,H10+1)-INDEX($A$1:$A$10,H10))*(D10-INDEX($B$1:$B$10,H10))/(INDEX($B$1:$B$10,H10+1)-INDEX($B$1:$B$10,H10))</f>
        <v/>
      </c>
      <c r="F10" s="25">
        <f>A3</f>
        <v/>
      </c>
      <c r="G10" s="26">
        <f>ABS(E10-F10)</f>
        <v/>
      </c>
      <c r="H10" s="22">
        <f>MIN(9,MAX(1,SUMPRODUCT(($B$1:$B$10&gt;=D10)*1)))</f>
        <v/>
      </c>
    </row>
    <row r="11">
      <c r="D11" s="24">
        <f>B4</f>
        <v/>
      </c>
      <c r="E11" s="25">
        <f>INDEX($A$1:$A$10,H11)+(INDEX($A$1:$A$10,H11+1)-INDEX($A$1:$A$10,H11))*(D11-INDEX($B$1:$B$10,H11))/(INDEX($B$1:$B$10,H11+1)-INDEX($B$1:$B$10,H11))</f>
        <v/>
      </c>
      <c r="F11" s="25">
        <f>A4</f>
        <v/>
      </c>
      <c r="G11" s="26">
        <f>ABS(E11-F11)</f>
        <v/>
      </c>
      <c r="H11" s="22">
        <f>MIN(9,MAX(1,SUMPRODUCT(($B$1:$B$10&gt;=D11)*1)))</f>
        <v/>
      </c>
    </row>
    <row r="12">
      <c r="D12" s="24">
        <f>B5</f>
        <v/>
      </c>
      <c r="E12" s="25">
        <f>INDEX($A$1:$A$10,H12)+(INDEX($A$1:$A$10,H12+1)-INDEX($A$1:$A$10,H12))*(D12-INDEX($B$1:$B$10,H12))/(INDEX($B$1:$B$10,H12+1)-INDEX($B$1:$B$10,H12))</f>
        <v/>
      </c>
      <c r="F12" s="25">
        <f>A5</f>
        <v/>
      </c>
      <c r="G12" s="26">
        <f>ABS(E12-F12)</f>
        <v/>
      </c>
      <c r="H12" s="22">
        <f>MIN(9,MAX(1,SUMPRODUCT(($B$1:$B$10&gt;=D12)*1)))</f>
        <v/>
      </c>
    </row>
    <row r="13">
      <c r="D13" s="24">
        <f>B6</f>
        <v/>
      </c>
      <c r="E13" s="25">
        <f>INDEX($A$1:$A$10,H13)+(INDEX($A$1:$A$10,H13+1)-INDEX($A$1:$A$10,H13))*(D13-INDEX($B$1:$B$10,H13))/(INDEX($B$1:$B$10,H13+1)-INDEX($B$1:$B$10,H13))</f>
        <v/>
      </c>
      <c r="F13" s="25">
        <f>A6</f>
        <v/>
      </c>
      <c r="G13" s="26">
        <f>ABS(E13-F13)</f>
        <v/>
      </c>
      <c r="H13" s="22">
        <f>MIN(9,MAX(1,SUMPRODUCT(($B$1:$B$10&gt;=D13)*1)))</f>
        <v/>
      </c>
    </row>
    <row r="14">
      <c r="D14" s="24">
        <f>B7</f>
        <v/>
      </c>
      <c r="E14" s="25">
        <f>INDEX($A$1:$A$10,H14)+(INDEX($A$1:$A$10,H14+1)-INDEX($A$1:$A$10,H14))*(D14-INDEX($B$1:$B$10,H14))/(INDEX($B$1:$B$10,H14+1)-INDEX($B$1:$B$10,H14))</f>
        <v/>
      </c>
      <c r="F14" s="25">
        <f>A7</f>
        <v/>
      </c>
      <c r="G14" s="26">
        <f>ABS(E14-F14)</f>
        <v/>
      </c>
      <c r="H14" s="22">
        <f>MIN(9,MAX(1,SUMPRODUCT(($B$1:$B$10&gt;=D14)*1)))</f>
        <v/>
      </c>
    </row>
    <row r="15">
      <c r="D15" s="24">
        <f>B8</f>
        <v/>
      </c>
      <c r="E15" s="25">
        <f>INDEX($A$1:$A$10,H15)+(INDEX($A$1:$A$10,H15+1)-INDEX($A$1:$A$10,H15))*(D15-INDEX($B$1:$B$10,H15))/(INDEX($B$1:$B$10,H15+1)-INDEX($B$1:$B$10,H15))</f>
        <v/>
      </c>
      <c r="F15" s="25">
        <f>A8</f>
        <v/>
      </c>
      <c r="G15" s="26">
        <f>ABS(E15-F15)</f>
        <v/>
      </c>
      <c r="H15" s="22">
        <f>MIN(9,MAX(1,SUMPRODUCT(($B$1:$B$10&gt;=D15)*1)))</f>
        <v/>
      </c>
    </row>
    <row r="16">
      <c r="D16" s="24">
        <f>B9</f>
        <v/>
      </c>
      <c r="E16" s="25">
        <f>INDEX($A$1:$A$10,H16)+(INDEX($A$1:$A$10,H16+1)-INDEX($A$1:$A$10,H16))*(D16-INDEX($B$1:$B$10,H16))/(INDEX($B$1:$B$10,H16+1)-INDEX($B$1:$B$10,H16))</f>
        <v/>
      </c>
      <c r="F16" s="25">
        <f>A9</f>
        <v/>
      </c>
      <c r="G16" s="26">
        <f>ABS(E16-F16)</f>
        <v/>
      </c>
      <c r="H16" s="22">
        <f>MIN(9,MAX(1,SUMPRODUCT(($B$1:$B$10&gt;=D16)*1)))</f>
        <v/>
      </c>
    </row>
    <row r="17">
      <c r="D17" s="24">
        <f>B10</f>
        <v/>
      </c>
      <c r="E17" s="25">
        <f>INDEX($A$1:$A$10,H17)+(INDEX($A$1:$A$10,H17+1)-INDEX($A$1:$A$10,H17))*(D17-INDEX($B$1:$B$10,H17))/(INDEX($B$1:$B$10,H17+1)-INDEX($B$1:$B$10,H17))</f>
        <v/>
      </c>
      <c r="F17" s="25">
        <f>A10</f>
        <v/>
      </c>
      <c r="G17" s="26">
        <f>ABS(E17-F17)</f>
        <v/>
      </c>
      <c r="H17" s="22">
        <f>MIN(9,MAX(1,SUMPRODUCT(($B$1:$B$10&gt;=D17)*1)))</f>
        <v/>
      </c>
    </row>
    <row r="19">
      <c r="D19" s="10" t="inlineStr">
        <is>
          <t>Максимальное отклонение расчёта от таблицы, % абс.:</t>
        </is>
      </c>
      <c r="G19" s="26">
        <f>MAX(G8:G17)</f>
        <v/>
      </c>
    </row>
    <row r="28" ht="15.75" customHeight="1" thickBot="1">
      <c r="A28" s="27" t="inlineStr">
        <is>
          <t>Коэфициенты из уравнения тренда (справочно, в расчёте не используются)</t>
        </is>
      </c>
      <c r="B28" s="28" t="n"/>
      <c r="C28" s="28" t="n"/>
    </row>
    <row r="29">
      <c r="A29" s="2" t="inlineStr">
        <is>
          <t>наклон</t>
        </is>
      </c>
      <c r="B29" s="3" t="inlineStr">
        <is>
          <t>отрезок</t>
        </is>
      </c>
      <c r="C29" s="4" t="inlineStr">
        <is>
          <t>массив</t>
        </is>
      </c>
    </row>
    <row r="30" ht="15.75" customHeight="1" thickBot="1">
      <c r="A30" s="29">
        <f>SLOPE(A1:A10,B1:B10)</f>
        <v/>
      </c>
      <c r="B30" s="30">
        <f>INTERCEPT(A1:A10,B1:B10)</f>
        <v/>
      </c>
      <c r="C30" s="31">
        <f>CORREL(A1:A10,B1:B10)^2</f>
        <v/>
      </c>
    </row>
  </sheetData>
  <mergeCells count="1">
    <mergeCell ref="A28:C28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Мигранов Азамат Раисович</dc:creator>
  <dcterms:created xsi:type="dcterms:W3CDTF">2026-09-19T13:29:41Z</dcterms:created>
  <dcterms:modified xsi:type="dcterms:W3CDTF">2026-09-20T03:37:43Z</dcterms:modified>
  <cp:lastModifiedBy>Мигранов Азамат Раисович</cp:lastModifiedBy>
</cp:coreProperties>
</file>